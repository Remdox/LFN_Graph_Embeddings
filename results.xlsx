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i\Universita\magistrale\learning_from_networks\LFN_Graph_Embeddings\"/>
    </mc:Choice>
  </mc:AlternateContent>
  <xr:revisionPtr revIDLastSave="0" documentId="13_ncr:1_{D741521E-5DC8-4D27-8DA0-18BCF7F044F9}" xr6:coauthVersionLast="47" xr6:coauthVersionMax="47" xr10:uidLastSave="{00000000-0000-0000-0000-000000000000}"/>
  <bookViews>
    <workbookView xWindow="-120" yWindow="-120" windowWidth="29040" windowHeight="15720" xr2:uid="{6C8C382E-13D7-4A5D-B0FE-6EC77689671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D75" i="1"/>
  <c r="D65" i="1"/>
  <c r="D55" i="1"/>
  <c r="D45" i="1"/>
  <c r="D35" i="1"/>
  <c r="D25" i="1"/>
  <c r="D15" i="1"/>
  <c r="D5" i="1"/>
</calcChain>
</file>

<file path=xl/sharedStrings.xml><?xml version="1.0" encoding="utf-8"?>
<sst xmlns="http://schemas.openxmlformats.org/spreadsheetml/2006/main" count="226" uniqueCount="25">
  <si>
    <t>Pennsylvania</t>
  </si>
  <si>
    <t>Training</t>
  </si>
  <si>
    <t>GraphSage</t>
  </si>
  <si>
    <t>Node2Vec</t>
  </si>
  <si>
    <t>LINE</t>
  </si>
  <si>
    <t>DVNE</t>
  </si>
  <si>
    <t>SVM</t>
  </si>
  <si>
    <t>AUROC</t>
  </si>
  <si>
    <t>AUPR</t>
  </si>
  <si>
    <t>MLP</t>
  </si>
  <si>
    <t>Padua</t>
  </si>
  <si>
    <t>Hong_Kong</t>
  </si>
  <si>
    <t>Italian_Covid_19_Retweet_Network</t>
  </si>
  <si>
    <t>Deezer</t>
  </si>
  <si>
    <t>GitHub_Developers</t>
  </si>
  <si>
    <t>Mus_Musculus_Protein_Interactions</t>
  </si>
  <si>
    <t>Saccharomyces_cerevisiae_Protein_Interactions</t>
  </si>
  <si>
    <t>Bio_grid_fission_yeast</t>
  </si>
  <si>
    <t xml:space="preserve">size </t>
  </si>
  <si>
    <t>RF</t>
  </si>
  <si>
    <t>Training (s)</t>
  </si>
  <si>
    <t>BEST MODEL</t>
  </si>
  <si>
    <t>size = #nodes + round(0.8 * #edges)</t>
  </si>
  <si>
    <t>#nodes</t>
  </si>
  <si>
    <t>#edges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</si>
</sst>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0"/>
    <numFmt numFmtId="166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  <xf numFmtId="166" fontId="0" fillId="0" borderId="2" xfId="0" applyNumberFormat="1" applyBorder="1"/>
    <xf numFmtId="166" fontId="0" fillId="0" borderId="3" xfId="0" applyNumberFormat="1" applyBorder="1"/>
    <xf numFmtId="166" fontId="0" fillId="0" borderId="4" xfId="0" applyNumberFormat="1" applyBorder="1"/>
    <xf numFmtId="166" fontId="0" fillId="0" borderId="9" xfId="0" applyNumberFormat="1" applyBorder="1"/>
    <xf numFmtId="166" fontId="0" fillId="0" borderId="12" xfId="0" applyNumberForma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0" xfId="0" applyNumberFormat="1"/>
    <xf numFmtId="165" fontId="0" fillId="0" borderId="9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Fill="1" applyBorder="1"/>
    <xf numFmtId="166" fontId="0" fillId="0" borderId="7" xfId="0" applyNumberFormat="1" applyBorder="1"/>
    <xf numFmtId="165" fontId="0" fillId="0" borderId="0" xfId="0" applyNumberFormat="1" applyBorder="1"/>
    <xf numFmtId="0" fontId="1" fillId="0" borderId="0" xfId="0" applyFont="1" applyAlignmen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Fill="1" applyBorder="1" applyAlignment="1">
      <alignment horizontal="left"/>
    </xf>
    <xf numFmtId="0" fontId="1" fillId="0" borderId="0" xfId="0" applyFont="1" applyAlignment="1">
      <alignment horizontal="left" wrapText="1"/>
    </xf>
    <xf numFmtId="3" fontId="0" fillId="0" borderId="14" xfId="0" applyNumberFormat="1" applyBorder="1"/>
    <xf numFmtId="3" fontId="0" fillId="0" borderId="1" xfId="0" applyNumberFormat="1" applyBorder="1"/>
    <xf numFmtId="0" fontId="1" fillId="0" borderId="1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0" borderId="0" xfId="0" applyNumberFormat="1" applyBorder="1"/>
    <xf numFmtId="164" fontId="0" fillId="0" borderId="0" xfId="0" applyNumberFormat="1" applyBorder="1"/>
    <xf numFmtId="166" fontId="0" fillId="0" borderId="0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4D61-2227-4CB4-9749-9A293CE6E7BE}">
  <dimension ref="A1:R91"/>
  <sheetViews>
    <sheetView tabSelected="1" zoomScale="85" zoomScaleNormal="85" workbookViewId="0">
      <selection activeCell="O26" sqref="O26"/>
    </sheetView>
  </sheetViews>
  <sheetFormatPr defaultRowHeight="15" x14ac:dyDescent="0.25"/>
  <cols>
    <col min="1" max="1" width="11.28515625" style="33" customWidth="1"/>
    <col min="2" max="2" width="11" bestFit="1" customWidth="1"/>
    <col min="9" max="9" width="12.42578125" style="21" customWidth="1"/>
    <col min="14" max="14" width="15.7109375" bestFit="1" customWidth="1"/>
    <col min="15" max="15" width="17.85546875" bestFit="1" customWidth="1"/>
    <col min="16" max="16" width="16.85546875" bestFit="1" customWidth="1"/>
    <col min="17" max="17" width="11.5703125" bestFit="1" customWidth="1"/>
    <col min="18" max="18" width="12.7109375" customWidth="1"/>
    <col min="19" max="19" width="7.42578125" bestFit="1" customWidth="1"/>
  </cols>
  <sheetData>
    <row r="1" spans="1:18" x14ac:dyDescent="0.25">
      <c r="B1" t="s">
        <v>22</v>
      </c>
    </row>
    <row r="3" spans="1:18" x14ac:dyDescent="0.25">
      <c r="A3" s="32" t="s">
        <v>0</v>
      </c>
    </row>
    <row r="4" spans="1:18" x14ac:dyDescent="0.25">
      <c r="A4" s="32"/>
      <c r="B4" s="40" t="s">
        <v>23</v>
      </c>
      <c r="C4" s="40" t="s">
        <v>24</v>
      </c>
      <c r="D4" s="41" t="s">
        <v>18</v>
      </c>
    </row>
    <row r="5" spans="1:18" x14ac:dyDescent="0.25">
      <c r="B5" s="39">
        <v>1088092</v>
      </c>
      <c r="C5" s="38">
        <v>3083796</v>
      </c>
      <c r="D5" s="38">
        <f>B5+ROUND(0.8*C5, 0)</f>
        <v>3555129</v>
      </c>
    </row>
    <row r="6" spans="1:18" x14ac:dyDescent="0.25">
      <c r="B6" s="1"/>
      <c r="C6" s="15" t="s">
        <v>6</v>
      </c>
      <c r="D6" s="15"/>
      <c r="E6" s="15" t="s">
        <v>9</v>
      </c>
      <c r="F6" s="15"/>
      <c r="G6" s="15" t="s">
        <v>19</v>
      </c>
      <c r="H6" s="15"/>
      <c r="I6" s="3"/>
      <c r="J6" s="20"/>
      <c r="K6" s="20"/>
      <c r="L6" s="3"/>
      <c r="M6" s="16"/>
      <c r="N6" s="16"/>
      <c r="O6" s="16"/>
      <c r="P6" s="16"/>
      <c r="Q6" s="16"/>
      <c r="R6" s="17"/>
    </row>
    <row r="7" spans="1:18" x14ac:dyDescent="0.25">
      <c r="B7" s="30" t="s">
        <v>20</v>
      </c>
      <c r="C7" s="22" t="s">
        <v>7</v>
      </c>
      <c r="D7" s="31" t="s">
        <v>8</v>
      </c>
      <c r="E7" s="22" t="s">
        <v>7</v>
      </c>
      <c r="F7" s="31" t="s">
        <v>8</v>
      </c>
      <c r="G7" s="22" t="s">
        <v>7</v>
      </c>
      <c r="H7" s="31" t="s">
        <v>8</v>
      </c>
      <c r="I7" s="22" t="s">
        <v>21</v>
      </c>
      <c r="J7" s="22" t="s">
        <v>7</v>
      </c>
      <c r="K7" s="31" t="s">
        <v>8</v>
      </c>
      <c r="L7" s="1"/>
      <c r="M7" s="16"/>
      <c r="N7" s="42"/>
      <c r="O7" s="43"/>
      <c r="P7" s="43"/>
      <c r="Q7" s="43"/>
      <c r="R7" s="43"/>
    </row>
    <row r="8" spans="1:18" x14ac:dyDescent="0.25">
      <c r="A8" s="34" t="s">
        <v>3</v>
      </c>
      <c r="B8" s="18">
        <v>1485.0989999999999</v>
      </c>
      <c r="C8" s="9">
        <v>0.5</v>
      </c>
      <c r="D8" s="10">
        <v>0.5</v>
      </c>
      <c r="E8" s="9">
        <v>0.85360000000000003</v>
      </c>
      <c r="F8" s="10">
        <v>0.84670000000000001</v>
      </c>
      <c r="G8" s="9">
        <v>0.88890000000000002</v>
      </c>
      <c r="H8" s="10">
        <v>0.83720000000000006</v>
      </c>
      <c r="I8" s="23" t="s">
        <v>19</v>
      </c>
      <c r="J8" s="9">
        <v>0.83689999999999998</v>
      </c>
      <c r="K8" s="10">
        <v>0.77170000000000005</v>
      </c>
      <c r="L8" s="11"/>
      <c r="M8" s="16"/>
      <c r="N8" s="42"/>
      <c r="O8" s="43"/>
      <c r="P8" s="43"/>
      <c r="Q8" s="43"/>
      <c r="R8" s="44"/>
    </row>
    <row r="9" spans="1:18" x14ac:dyDescent="0.25">
      <c r="A9" s="35" t="s">
        <v>4</v>
      </c>
      <c r="B9" s="7">
        <v>229.25700000000001</v>
      </c>
      <c r="C9" s="11">
        <v>0.5</v>
      </c>
      <c r="D9" s="12">
        <v>0.5</v>
      </c>
      <c r="E9" s="11">
        <v>0.57450000000000001</v>
      </c>
      <c r="F9" s="12">
        <v>0.58230000000000004</v>
      </c>
      <c r="G9" s="11">
        <v>0.53080000000000005</v>
      </c>
      <c r="H9" s="12">
        <v>0.51719999999999999</v>
      </c>
      <c r="I9" s="24" t="s">
        <v>9</v>
      </c>
      <c r="J9" s="11">
        <v>0.57699999999999996</v>
      </c>
      <c r="K9" s="12">
        <v>0.58399999999999996</v>
      </c>
      <c r="M9" s="16"/>
      <c r="N9" s="42"/>
      <c r="O9" s="43"/>
      <c r="P9" s="43"/>
      <c r="Q9" s="43"/>
      <c r="R9" s="44"/>
    </row>
    <row r="10" spans="1:18" x14ac:dyDescent="0.25">
      <c r="A10" s="35" t="s">
        <v>5</v>
      </c>
      <c r="B10" s="7">
        <v>12.54</v>
      </c>
      <c r="C10" s="11">
        <v>0.50170000000000003</v>
      </c>
      <c r="D10" s="12">
        <v>0.50080000000000002</v>
      </c>
      <c r="E10" s="11">
        <v>0.79669999999999996</v>
      </c>
      <c r="F10" s="12">
        <v>0.77149999999999996</v>
      </c>
      <c r="G10" s="11">
        <v>0.74509999999999998</v>
      </c>
      <c r="H10" s="12">
        <v>0.67859999999999998</v>
      </c>
      <c r="I10" s="24" t="s">
        <v>9</v>
      </c>
      <c r="J10" s="11">
        <v>0.79590000000000005</v>
      </c>
      <c r="K10" s="12">
        <v>0.77100000000000002</v>
      </c>
      <c r="M10" s="16"/>
      <c r="N10" s="42"/>
      <c r="O10" s="43"/>
      <c r="P10" s="43"/>
      <c r="Q10" s="43"/>
      <c r="R10" s="44"/>
    </row>
    <row r="11" spans="1:18" x14ac:dyDescent="0.25">
      <c r="A11" s="36" t="s">
        <v>2</v>
      </c>
      <c r="B11" s="8">
        <v>24.396999999999998</v>
      </c>
      <c r="C11" s="13">
        <v>0.5</v>
      </c>
      <c r="D11" s="14">
        <v>0.5</v>
      </c>
      <c r="E11" s="13">
        <v>0.69220000000000004</v>
      </c>
      <c r="F11" s="14">
        <v>0.67630000000000001</v>
      </c>
      <c r="G11" s="13">
        <v>0.69840000000000002</v>
      </c>
      <c r="H11" s="14">
        <v>0.63070000000000004</v>
      </c>
      <c r="I11" s="25" t="s">
        <v>19</v>
      </c>
      <c r="J11" s="13">
        <v>0.69579999999999997</v>
      </c>
      <c r="K11" s="14">
        <v>0.62860000000000005</v>
      </c>
      <c r="M11" s="16"/>
      <c r="N11" s="42"/>
      <c r="O11" s="43"/>
      <c r="P11" s="43"/>
      <c r="Q11" s="43"/>
      <c r="R11" s="44"/>
    </row>
    <row r="12" spans="1:18" x14ac:dyDescent="0.25">
      <c r="M12" s="16"/>
      <c r="N12" s="42"/>
      <c r="O12" s="43"/>
      <c r="P12" s="43"/>
      <c r="Q12" s="43"/>
      <c r="R12" s="44"/>
    </row>
    <row r="13" spans="1:18" x14ac:dyDescent="0.25">
      <c r="A13" s="32" t="s">
        <v>10</v>
      </c>
      <c r="M13" s="16"/>
      <c r="N13" s="42"/>
      <c r="O13" s="43"/>
      <c r="P13" s="43"/>
      <c r="Q13" s="43"/>
      <c r="R13" s="44"/>
    </row>
    <row r="14" spans="1:18" x14ac:dyDescent="0.25">
      <c r="B14" s="40" t="s">
        <v>23</v>
      </c>
      <c r="C14" s="40" t="s">
        <v>24</v>
      </c>
      <c r="D14" s="41" t="s">
        <v>18</v>
      </c>
      <c r="M14" s="16"/>
      <c r="N14" s="42"/>
      <c r="O14" s="43"/>
      <c r="P14" s="43"/>
      <c r="Q14" s="43"/>
      <c r="R14" s="44"/>
    </row>
    <row r="15" spans="1:18" x14ac:dyDescent="0.25">
      <c r="A15" s="32"/>
      <c r="B15" s="39">
        <v>122728</v>
      </c>
      <c r="C15" s="39">
        <v>304184</v>
      </c>
      <c r="D15" s="39">
        <f>B15+ROUND(0.8*C15, 0)</f>
        <v>366075</v>
      </c>
      <c r="E15" s="2"/>
      <c r="G15" s="2"/>
      <c r="M15" s="16"/>
      <c r="N15" s="42"/>
      <c r="O15" s="43"/>
      <c r="P15" s="43"/>
      <c r="Q15" s="43"/>
      <c r="R15" s="44"/>
    </row>
    <row r="16" spans="1:18" x14ac:dyDescent="0.25">
      <c r="B16" s="1"/>
      <c r="C16" s="15" t="s">
        <v>6</v>
      </c>
      <c r="D16" s="15"/>
      <c r="E16" s="15" t="s">
        <v>9</v>
      </c>
      <c r="F16" s="15"/>
      <c r="G16" s="15" t="s">
        <v>19</v>
      </c>
      <c r="H16" s="15"/>
      <c r="I16" s="3"/>
      <c r="J16" s="20"/>
      <c r="K16" s="20"/>
      <c r="L16" s="3"/>
      <c r="M16" s="16"/>
      <c r="N16" s="16"/>
      <c r="O16" s="16"/>
      <c r="P16" s="16"/>
      <c r="Q16" s="16"/>
      <c r="R16" s="16"/>
    </row>
    <row r="17" spans="1:18" x14ac:dyDescent="0.25">
      <c r="B17" s="30" t="s">
        <v>20</v>
      </c>
      <c r="C17" s="22" t="s">
        <v>7</v>
      </c>
      <c r="D17" s="31" t="s">
        <v>8</v>
      </c>
      <c r="E17" s="22" t="s">
        <v>7</v>
      </c>
      <c r="F17" s="31" t="s">
        <v>8</v>
      </c>
      <c r="G17" s="22" t="s">
        <v>7</v>
      </c>
      <c r="H17" s="22" t="s">
        <v>8</v>
      </c>
      <c r="I17" s="26" t="s">
        <v>21</v>
      </c>
      <c r="J17" s="22" t="s">
        <v>7</v>
      </c>
      <c r="K17" s="31" t="s">
        <v>8</v>
      </c>
      <c r="L17" s="1"/>
      <c r="M17" s="16"/>
      <c r="N17" s="16"/>
      <c r="O17" s="16"/>
      <c r="P17" s="16"/>
      <c r="Q17" s="16"/>
      <c r="R17" s="16"/>
    </row>
    <row r="18" spans="1:18" x14ac:dyDescent="0.25">
      <c r="A18" s="34" t="s">
        <v>3</v>
      </c>
      <c r="B18" s="4">
        <v>244.995</v>
      </c>
      <c r="C18" s="9">
        <v>0.5</v>
      </c>
      <c r="D18" s="10">
        <v>0.5</v>
      </c>
      <c r="E18" s="9">
        <v>0.51759999999999995</v>
      </c>
      <c r="F18" s="10">
        <v>0.51900000000000002</v>
      </c>
      <c r="G18" s="9">
        <v>0.84730000000000005</v>
      </c>
      <c r="H18" s="9">
        <v>0.78700000000000003</v>
      </c>
      <c r="I18" s="27" t="s">
        <v>19</v>
      </c>
      <c r="J18" s="9">
        <v>0.89729999999999999</v>
      </c>
      <c r="K18" s="10">
        <v>0.85509999999999997</v>
      </c>
      <c r="M18" s="16"/>
      <c r="N18" s="16"/>
      <c r="O18" s="16"/>
      <c r="P18" s="16"/>
      <c r="Q18" s="16"/>
      <c r="R18" s="16"/>
    </row>
    <row r="19" spans="1:18" x14ac:dyDescent="0.25">
      <c r="A19" s="35" t="s">
        <v>4</v>
      </c>
      <c r="B19" s="5">
        <v>43.353000000000002</v>
      </c>
      <c r="C19" s="11">
        <v>0.5</v>
      </c>
      <c r="D19" s="12">
        <v>0.5</v>
      </c>
      <c r="E19" s="11">
        <v>0.50149999999999995</v>
      </c>
      <c r="F19" s="12">
        <v>0.50080000000000002</v>
      </c>
      <c r="G19" s="11">
        <v>0.57479999999999998</v>
      </c>
      <c r="H19" s="19">
        <v>0.54469999999999996</v>
      </c>
      <c r="I19" s="28" t="s">
        <v>19</v>
      </c>
      <c r="J19" s="19">
        <v>0.58050000000000002</v>
      </c>
      <c r="K19" s="12">
        <v>0.54920000000000002</v>
      </c>
    </row>
    <row r="20" spans="1:18" x14ac:dyDescent="0.25">
      <c r="A20" s="35" t="s">
        <v>5</v>
      </c>
      <c r="B20" s="5">
        <v>1.528</v>
      </c>
      <c r="C20" s="11">
        <v>0.5</v>
      </c>
      <c r="D20" s="12">
        <v>0.5</v>
      </c>
      <c r="E20" s="11">
        <v>0.75680000000000003</v>
      </c>
      <c r="F20" s="12">
        <v>0.72409999999999997</v>
      </c>
      <c r="G20" s="11">
        <v>0.77969999999999995</v>
      </c>
      <c r="H20" s="19">
        <v>0.71560000000000001</v>
      </c>
      <c r="I20" s="28" t="s">
        <v>19</v>
      </c>
      <c r="J20" s="19">
        <v>0.77610000000000001</v>
      </c>
      <c r="K20" s="12">
        <v>0.71209999999999996</v>
      </c>
    </row>
    <row r="21" spans="1:18" x14ac:dyDescent="0.25">
      <c r="A21" s="36" t="s">
        <v>2</v>
      </c>
      <c r="B21" s="6">
        <v>16.344000000000001</v>
      </c>
      <c r="C21" s="13">
        <v>0.5</v>
      </c>
      <c r="D21" s="14">
        <v>0.5</v>
      </c>
      <c r="E21" s="13">
        <v>0.58530000000000004</v>
      </c>
      <c r="F21" s="14">
        <v>0.59689999999999999</v>
      </c>
      <c r="G21" s="13">
        <v>0.80630000000000002</v>
      </c>
      <c r="H21" s="13">
        <v>0.73170000000000002</v>
      </c>
      <c r="I21" s="29" t="s">
        <v>19</v>
      </c>
      <c r="J21" s="13">
        <v>0.80889999999999995</v>
      </c>
      <c r="K21" s="14">
        <v>0.73429999999999995</v>
      </c>
    </row>
    <row r="23" spans="1:18" x14ac:dyDescent="0.25">
      <c r="A23" s="32" t="s">
        <v>11</v>
      </c>
    </row>
    <row r="24" spans="1:18" x14ac:dyDescent="0.25">
      <c r="A24" s="32"/>
      <c r="B24" s="40" t="s">
        <v>23</v>
      </c>
      <c r="C24" s="40" t="s">
        <v>24</v>
      </c>
      <c r="D24" s="41" t="s">
        <v>18</v>
      </c>
    </row>
    <row r="25" spans="1:18" x14ac:dyDescent="0.25">
      <c r="A25" s="32"/>
      <c r="B25" s="39">
        <v>43620</v>
      </c>
      <c r="C25" s="39">
        <v>91542</v>
      </c>
      <c r="D25" s="39">
        <f>B25+ROUND(0.8*C25, 0)</f>
        <v>116854</v>
      </c>
      <c r="E25" s="2"/>
      <c r="G25" s="2"/>
    </row>
    <row r="26" spans="1:18" x14ac:dyDescent="0.25">
      <c r="B26" s="1"/>
      <c r="C26" s="15" t="s">
        <v>6</v>
      </c>
      <c r="D26" s="15"/>
      <c r="E26" s="15" t="s">
        <v>9</v>
      </c>
      <c r="F26" s="15"/>
      <c r="G26" s="15" t="s">
        <v>19</v>
      </c>
      <c r="H26" s="15"/>
      <c r="I26" s="3"/>
      <c r="J26" s="20"/>
      <c r="K26" s="20"/>
      <c r="L26" s="3"/>
      <c r="O26" s="2"/>
    </row>
    <row r="27" spans="1:18" x14ac:dyDescent="0.25">
      <c r="B27" s="30" t="s">
        <v>20</v>
      </c>
      <c r="C27" s="22" t="s">
        <v>7</v>
      </c>
      <c r="D27" s="31" t="s">
        <v>8</v>
      </c>
      <c r="E27" s="22" t="s">
        <v>7</v>
      </c>
      <c r="F27" s="31" t="s">
        <v>8</v>
      </c>
      <c r="G27" s="22" t="s">
        <v>7</v>
      </c>
      <c r="H27" s="31" t="s">
        <v>8</v>
      </c>
      <c r="I27" s="26" t="s">
        <v>21</v>
      </c>
      <c r="J27" s="22" t="s">
        <v>7</v>
      </c>
      <c r="K27" s="31" t="s">
        <v>8</v>
      </c>
      <c r="L27" s="1"/>
    </row>
    <row r="28" spans="1:18" x14ac:dyDescent="0.25">
      <c r="A28" s="34" t="s">
        <v>3</v>
      </c>
      <c r="B28" s="4">
        <v>178.708</v>
      </c>
      <c r="C28" s="9">
        <v>0.5</v>
      </c>
      <c r="D28" s="10">
        <v>0.5</v>
      </c>
      <c r="E28" s="9">
        <v>0.53800000000000003</v>
      </c>
      <c r="F28" s="10">
        <v>0.55120000000000002</v>
      </c>
      <c r="G28" s="9">
        <v>0.79279999999999995</v>
      </c>
      <c r="H28" s="10">
        <v>0.72409999999999997</v>
      </c>
      <c r="I28" s="27" t="s">
        <v>19</v>
      </c>
      <c r="J28" s="9">
        <v>0.82779999999999998</v>
      </c>
      <c r="K28" s="10">
        <v>0.76490000000000002</v>
      </c>
    </row>
    <row r="29" spans="1:18" x14ac:dyDescent="0.25">
      <c r="A29" s="35" t="s">
        <v>4</v>
      </c>
      <c r="B29" s="5">
        <v>14.356</v>
      </c>
      <c r="C29" s="11">
        <v>0.5</v>
      </c>
      <c r="D29" s="12">
        <v>0.5</v>
      </c>
      <c r="E29" s="11">
        <v>0.62250000000000005</v>
      </c>
      <c r="F29" s="12">
        <v>0.62470000000000003</v>
      </c>
      <c r="G29" s="11">
        <v>0.60040000000000004</v>
      </c>
      <c r="H29" s="12">
        <v>0.5625</v>
      </c>
      <c r="I29" s="28" t="s">
        <v>9</v>
      </c>
      <c r="J29" s="19">
        <v>0.61570000000000003</v>
      </c>
      <c r="K29" s="12">
        <v>0.62190000000000001</v>
      </c>
    </row>
    <row r="30" spans="1:18" x14ac:dyDescent="0.25">
      <c r="A30" s="35" t="s">
        <v>5</v>
      </c>
      <c r="B30" s="5">
        <v>0.59599999999999997</v>
      </c>
      <c r="C30" s="11">
        <v>0.50029999999999997</v>
      </c>
      <c r="D30" s="12">
        <v>0.50009999999999999</v>
      </c>
      <c r="E30" s="11">
        <v>0.87309999999999999</v>
      </c>
      <c r="F30" s="12">
        <v>0.85650000000000004</v>
      </c>
      <c r="G30" s="11">
        <v>0.83160000000000001</v>
      </c>
      <c r="H30" s="12">
        <v>0.76829999999999998</v>
      </c>
      <c r="I30" s="28" t="s">
        <v>9</v>
      </c>
      <c r="J30" s="19">
        <v>0.86939999999999995</v>
      </c>
      <c r="K30" s="12">
        <v>0.84640000000000004</v>
      </c>
    </row>
    <row r="31" spans="1:18" x14ac:dyDescent="0.25">
      <c r="A31" s="36" t="s">
        <v>2</v>
      </c>
      <c r="B31" s="6">
        <v>9.8580000000000005</v>
      </c>
      <c r="C31" s="13">
        <v>0.5</v>
      </c>
      <c r="D31" s="14">
        <v>0.5</v>
      </c>
      <c r="E31" s="13">
        <v>0.73329999999999995</v>
      </c>
      <c r="F31" s="14">
        <v>0.72219999999999995</v>
      </c>
      <c r="G31" s="13">
        <v>0.84589999999999999</v>
      </c>
      <c r="H31" s="14">
        <v>0.7752</v>
      </c>
      <c r="I31" s="29" t="s">
        <v>19</v>
      </c>
      <c r="J31" s="13">
        <v>0.83650000000000002</v>
      </c>
      <c r="K31" s="14">
        <v>0.76429999999999998</v>
      </c>
    </row>
    <row r="33" spans="1:12" x14ac:dyDescent="0.25">
      <c r="A33" s="32" t="s">
        <v>12</v>
      </c>
    </row>
    <row r="34" spans="1:12" x14ac:dyDescent="0.25">
      <c r="A34" s="37"/>
      <c r="B34" s="40" t="s">
        <v>23</v>
      </c>
      <c r="C34" s="40" t="s">
        <v>24</v>
      </c>
      <c r="D34" s="41" t="s">
        <v>18</v>
      </c>
    </row>
    <row r="35" spans="1:12" x14ac:dyDescent="0.25">
      <c r="A35" s="37"/>
      <c r="B35" s="39">
        <v>221574</v>
      </c>
      <c r="C35" s="39">
        <v>2332721</v>
      </c>
      <c r="D35" s="39">
        <f>B35+ROUND(0.8*C35, 0)</f>
        <v>2087751</v>
      </c>
      <c r="E35" s="2"/>
      <c r="G35" s="2"/>
    </row>
    <row r="36" spans="1:12" x14ac:dyDescent="0.25">
      <c r="B36" s="1"/>
      <c r="C36" s="15" t="s">
        <v>6</v>
      </c>
      <c r="D36" s="15"/>
      <c r="E36" s="15" t="s">
        <v>9</v>
      </c>
      <c r="F36" s="15"/>
      <c r="G36" s="15" t="s">
        <v>19</v>
      </c>
      <c r="H36" s="15"/>
      <c r="I36" s="3"/>
      <c r="J36" s="20"/>
      <c r="K36" s="20"/>
      <c r="L36" s="3"/>
    </row>
    <row r="37" spans="1:12" x14ac:dyDescent="0.25">
      <c r="B37" s="30" t="s">
        <v>20</v>
      </c>
      <c r="C37" s="22" t="s">
        <v>7</v>
      </c>
      <c r="D37" s="31" t="s">
        <v>8</v>
      </c>
      <c r="E37" s="22" t="s">
        <v>7</v>
      </c>
      <c r="F37" s="31" t="s">
        <v>8</v>
      </c>
      <c r="G37" s="22" t="s">
        <v>7</v>
      </c>
      <c r="H37" s="31" t="s">
        <v>8</v>
      </c>
      <c r="I37" s="26" t="s">
        <v>21</v>
      </c>
      <c r="J37" s="22" t="s">
        <v>7</v>
      </c>
      <c r="K37" s="31" t="s">
        <v>8</v>
      </c>
      <c r="L37" s="1"/>
    </row>
    <row r="38" spans="1:12" x14ac:dyDescent="0.25">
      <c r="A38" s="34" t="s">
        <v>3</v>
      </c>
      <c r="B38" s="4">
        <v>2661.72</v>
      </c>
      <c r="C38" s="9">
        <v>0.49930000000000002</v>
      </c>
      <c r="D38" s="10">
        <v>0.49959999999999999</v>
      </c>
      <c r="E38" s="9">
        <v>0.96020000000000005</v>
      </c>
      <c r="F38" s="10">
        <v>0.96679999999999999</v>
      </c>
      <c r="G38" s="9">
        <v>0.92200000000000004</v>
      </c>
      <c r="H38" s="10">
        <v>0.90769999999999995</v>
      </c>
      <c r="I38" s="27" t="s">
        <v>9</v>
      </c>
      <c r="J38" s="9">
        <v>0.95960000000000001</v>
      </c>
      <c r="K38" s="10">
        <v>0.96660000000000001</v>
      </c>
    </row>
    <row r="39" spans="1:12" x14ac:dyDescent="0.25">
      <c r="A39" s="35" t="s">
        <v>4</v>
      </c>
      <c r="B39" s="5">
        <v>243.501</v>
      </c>
      <c r="C39" s="11">
        <v>0.5</v>
      </c>
      <c r="D39" s="12">
        <v>0.5</v>
      </c>
      <c r="E39" s="11">
        <v>0.95179999999999998</v>
      </c>
      <c r="F39" s="12">
        <v>0.95789999999999997</v>
      </c>
      <c r="G39" s="11">
        <v>0.89559999999999995</v>
      </c>
      <c r="H39" s="12">
        <v>0.87409999999999999</v>
      </c>
      <c r="I39" s="28" t="s">
        <v>9</v>
      </c>
      <c r="J39" s="19">
        <v>0.89559999999999995</v>
      </c>
      <c r="K39" s="12">
        <v>0.87409999999999999</v>
      </c>
    </row>
    <row r="40" spans="1:12" x14ac:dyDescent="0.25">
      <c r="A40" s="35" t="s">
        <v>5</v>
      </c>
      <c r="B40" s="5">
        <v>6.633</v>
      </c>
      <c r="C40" s="11">
        <v>0.49990000000000001</v>
      </c>
      <c r="D40" s="12">
        <v>0.5</v>
      </c>
      <c r="E40" s="11">
        <v>0.97170000000000001</v>
      </c>
      <c r="F40" s="12">
        <v>0.97560000000000002</v>
      </c>
      <c r="G40" s="11">
        <v>0.94430000000000003</v>
      </c>
      <c r="H40" s="12">
        <v>0.92430000000000001</v>
      </c>
      <c r="I40" s="28" t="s">
        <v>9</v>
      </c>
      <c r="J40" s="19">
        <v>0.97160000000000002</v>
      </c>
      <c r="K40" s="12">
        <v>0.97560000000000002</v>
      </c>
    </row>
    <row r="41" spans="1:12" x14ac:dyDescent="0.25">
      <c r="A41" s="36" t="s">
        <v>2</v>
      </c>
      <c r="B41" s="6">
        <v>47.58</v>
      </c>
      <c r="C41" s="13">
        <v>0.5</v>
      </c>
      <c r="D41" s="14">
        <v>0.5</v>
      </c>
      <c r="E41" s="13">
        <v>0.91410000000000002</v>
      </c>
      <c r="F41" s="14">
        <v>0.87980000000000003</v>
      </c>
      <c r="G41" s="13">
        <v>0.91990000000000005</v>
      </c>
      <c r="H41" s="14">
        <v>0.88029999999999997</v>
      </c>
      <c r="I41" s="29" t="s">
        <v>19</v>
      </c>
      <c r="J41" s="13">
        <v>0.92020000000000002</v>
      </c>
      <c r="K41" s="14">
        <v>0.88080000000000003</v>
      </c>
    </row>
    <row r="43" spans="1:12" x14ac:dyDescent="0.25">
      <c r="A43" s="32" t="s">
        <v>13</v>
      </c>
    </row>
    <row r="44" spans="1:12" x14ac:dyDescent="0.25">
      <c r="A44" s="32"/>
      <c r="B44" s="40" t="s">
        <v>23</v>
      </c>
      <c r="C44" s="40" t="s">
        <v>24</v>
      </c>
      <c r="D44" s="41" t="s">
        <v>18</v>
      </c>
      <c r="E44" s="2"/>
      <c r="G44" s="2"/>
    </row>
    <row r="45" spans="1:12" x14ac:dyDescent="0.25">
      <c r="A45" s="32"/>
      <c r="B45" s="39">
        <v>54573</v>
      </c>
      <c r="C45" s="39">
        <v>846915</v>
      </c>
      <c r="D45" s="39">
        <f>B45+ROUND(0.8*C45, 0)</f>
        <v>732105</v>
      </c>
      <c r="E45" s="2"/>
      <c r="G45" s="2"/>
    </row>
    <row r="46" spans="1:12" x14ac:dyDescent="0.25">
      <c r="B46" s="1"/>
      <c r="C46" s="15" t="s">
        <v>6</v>
      </c>
      <c r="D46" s="15"/>
      <c r="E46" s="15" t="s">
        <v>9</v>
      </c>
      <c r="F46" s="15"/>
      <c r="G46" s="15" t="s">
        <v>19</v>
      </c>
      <c r="H46" s="15"/>
      <c r="I46" s="3"/>
      <c r="J46" s="20"/>
      <c r="K46" s="20"/>
      <c r="L46" s="3"/>
    </row>
    <row r="47" spans="1:12" x14ac:dyDescent="0.25">
      <c r="B47" s="30" t="s">
        <v>20</v>
      </c>
      <c r="C47" s="22" t="s">
        <v>7</v>
      </c>
      <c r="D47" s="31" t="s">
        <v>8</v>
      </c>
      <c r="E47" s="22" t="s">
        <v>7</v>
      </c>
      <c r="F47" s="31" t="s">
        <v>8</v>
      </c>
      <c r="G47" s="22" t="s">
        <v>7</v>
      </c>
      <c r="H47" s="31" t="s">
        <v>8</v>
      </c>
      <c r="I47" s="26" t="s">
        <v>21</v>
      </c>
      <c r="J47" s="22" t="s">
        <v>7</v>
      </c>
      <c r="K47" s="31" t="s">
        <v>8</v>
      </c>
      <c r="L47" s="1"/>
    </row>
    <row r="48" spans="1:12" x14ac:dyDescent="0.25">
      <c r="A48" s="34" t="s">
        <v>3</v>
      </c>
      <c r="B48" s="4">
        <v>314.3</v>
      </c>
      <c r="C48" s="9">
        <v>0.5</v>
      </c>
      <c r="D48" s="10">
        <v>0.33329999999999999</v>
      </c>
      <c r="E48" s="9">
        <v>0.71850000000000003</v>
      </c>
      <c r="F48" s="10">
        <v>0.56230000000000002</v>
      </c>
      <c r="G48" s="9">
        <v>0.63470000000000004</v>
      </c>
      <c r="H48" s="10">
        <v>0.45190000000000002</v>
      </c>
      <c r="I48" s="27" t="s">
        <v>9</v>
      </c>
      <c r="J48" s="9">
        <v>0.71909999999999996</v>
      </c>
      <c r="K48" s="10">
        <v>0.56520000000000004</v>
      </c>
    </row>
    <row r="49" spans="1:12" x14ac:dyDescent="0.25">
      <c r="A49" s="35" t="s">
        <v>4</v>
      </c>
      <c r="B49" s="5">
        <v>54.085000000000001</v>
      </c>
      <c r="C49" s="11">
        <v>0.5</v>
      </c>
      <c r="D49" s="12">
        <v>0.33329999999999999</v>
      </c>
      <c r="E49" s="11">
        <v>0.53239999999999998</v>
      </c>
      <c r="F49" s="12">
        <v>0.36609999999999998</v>
      </c>
      <c r="G49" s="11">
        <v>0.54269999999999996</v>
      </c>
      <c r="H49" s="12">
        <v>0.37159999999999999</v>
      </c>
      <c r="I49" s="28" t="s">
        <v>19</v>
      </c>
      <c r="J49" s="19">
        <v>0.54149999999999998</v>
      </c>
      <c r="K49" s="12">
        <v>0.37040000000000001</v>
      </c>
    </row>
    <row r="50" spans="1:12" x14ac:dyDescent="0.25">
      <c r="A50" s="35" t="s">
        <v>5</v>
      </c>
      <c r="B50" s="5">
        <v>0.71299999999999997</v>
      </c>
      <c r="C50" s="11">
        <v>0.5</v>
      </c>
      <c r="D50" s="12">
        <v>0.33329999999999999</v>
      </c>
      <c r="E50" s="11">
        <v>0.68920000000000003</v>
      </c>
      <c r="F50" s="12">
        <v>0.54669999999999996</v>
      </c>
      <c r="G50" s="11">
        <v>0.627</v>
      </c>
      <c r="H50" s="12">
        <v>0.44259999999999999</v>
      </c>
      <c r="I50" s="28" t="s">
        <v>9</v>
      </c>
      <c r="J50" s="19">
        <v>0.68879999999999997</v>
      </c>
      <c r="K50" s="12">
        <v>0.54800000000000004</v>
      </c>
    </row>
    <row r="51" spans="1:12" x14ac:dyDescent="0.25">
      <c r="A51" s="36" t="s">
        <v>2</v>
      </c>
      <c r="B51" s="6">
        <v>162.45400000000001</v>
      </c>
      <c r="C51" s="13">
        <v>0.5</v>
      </c>
      <c r="D51" s="14">
        <v>0.33329999999999999</v>
      </c>
      <c r="E51" s="13">
        <v>0.5</v>
      </c>
      <c r="F51" s="14">
        <v>0.33329999999999999</v>
      </c>
      <c r="G51" s="13">
        <v>0.5746</v>
      </c>
      <c r="H51" s="14">
        <v>0.39539999999999997</v>
      </c>
      <c r="I51" s="29" t="s">
        <v>19</v>
      </c>
      <c r="J51" s="13">
        <v>0.57689999999999997</v>
      </c>
      <c r="K51" s="14">
        <v>0.39860000000000001</v>
      </c>
    </row>
    <row r="53" spans="1:12" x14ac:dyDescent="0.25">
      <c r="A53" s="32" t="s">
        <v>14</v>
      </c>
    </row>
    <row r="54" spans="1:12" x14ac:dyDescent="0.25">
      <c r="A54" s="32"/>
      <c r="B54" s="40" t="s">
        <v>23</v>
      </c>
      <c r="C54" s="40" t="s">
        <v>24</v>
      </c>
      <c r="D54" s="41" t="s">
        <v>18</v>
      </c>
    </row>
    <row r="55" spans="1:12" x14ac:dyDescent="0.25">
      <c r="A55" s="32"/>
      <c r="B55" s="39">
        <v>37700</v>
      </c>
      <c r="C55" s="39">
        <v>289003</v>
      </c>
      <c r="D55" s="39">
        <f>B55+ROUND(0.8*C55, 0)</f>
        <v>268902</v>
      </c>
      <c r="E55" s="2"/>
      <c r="G55" s="2"/>
    </row>
    <row r="56" spans="1:12" x14ac:dyDescent="0.25">
      <c r="B56" s="1"/>
      <c r="C56" s="15" t="s">
        <v>6</v>
      </c>
      <c r="D56" s="15"/>
      <c r="E56" s="15" t="s">
        <v>9</v>
      </c>
      <c r="F56" s="15"/>
      <c r="G56" s="15" t="s">
        <v>19</v>
      </c>
      <c r="H56" s="15"/>
      <c r="I56" s="3"/>
      <c r="J56" s="20"/>
      <c r="K56" s="20"/>
      <c r="L56" s="3"/>
    </row>
    <row r="57" spans="1:12" x14ac:dyDescent="0.25">
      <c r="B57" s="30" t="s">
        <v>20</v>
      </c>
      <c r="C57" s="22" t="s">
        <v>7</v>
      </c>
      <c r="D57" s="31" t="s">
        <v>8</v>
      </c>
      <c r="E57" s="22" t="s">
        <v>7</v>
      </c>
      <c r="F57" s="31" t="s">
        <v>8</v>
      </c>
      <c r="G57" s="22" t="s">
        <v>7</v>
      </c>
      <c r="H57" s="31" t="s">
        <v>8</v>
      </c>
      <c r="I57" s="26" t="s">
        <v>21</v>
      </c>
      <c r="J57" s="22" t="s">
        <v>7</v>
      </c>
      <c r="K57" s="31" t="s">
        <v>8</v>
      </c>
      <c r="L57" s="1"/>
    </row>
    <row r="58" spans="1:12" x14ac:dyDescent="0.25">
      <c r="A58" s="34" t="s">
        <v>3</v>
      </c>
      <c r="B58" s="4">
        <v>319.923</v>
      </c>
      <c r="C58" s="9">
        <v>0.50329999999999997</v>
      </c>
      <c r="D58" s="10">
        <v>0.33479999999999999</v>
      </c>
      <c r="E58" s="9">
        <v>0.9234</v>
      </c>
      <c r="F58" s="10">
        <v>0.88849999999999996</v>
      </c>
      <c r="G58" s="9">
        <v>0.85819999999999996</v>
      </c>
      <c r="H58" s="10">
        <v>0.74760000000000004</v>
      </c>
      <c r="I58" s="27" t="s">
        <v>9</v>
      </c>
      <c r="J58" s="9">
        <v>0.92249999999999999</v>
      </c>
      <c r="K58" s="10">
        <v>0.88649999999999995</v>
      </c>
    </row>
    <row r="59" spans="1:12" x14ac:dyDescent="0.25">
      <c r="A59" s="35" t="s">
        <v>4</v>
      </c>
      <c r="B59" s="5">
        <v>20.879000000000001</v>
      </c>
      <c r="C59" s="11">
        <v>0.5</v>
      </c>
      <c r="D59" s="12">
        <v>0.33329999999999999</v>
      </c>
      <c r="E59" s="11">
        <v>0.50219999999999998</v>
      </c>
      <c r="F59" s="12">
        <v>0.34699999999999998</v>
      </c>
      <c r="G59" s="11">
        <v>0.69620000000000004</v>
      </c>
      <c r="H59" s="12">
        <v>0.3347</v>
      </c>
      <c r="I59" s="28" t="s">
        <v>19</v>
      </c>
      <c r="J59" s="19">
        <v>0.69320000000000004</v>
      </c>
      <c r="K59" s="12">
        <v>0.55779999999999996</v>
      </c>
    </row>
    <row r="60" spans="1:12" x14ac:dyDescent="0.25">
      <c r="A60" s="35" t="s">
        <v>5</v>
      </c>
      <c r="B60" s="5">
        <v>0.70699999999999996</v>
      </c>
      <c r="C60" s="11">
        <v>0.5</v>
      </c>
      <c r="D60" s="12">
        <v>0.33329999999999999</v>
      </c>
      <c r="E60" s="11">
        <v>0.90229999999999999</v>
      </c>
      <c r="F60" s="12">
        <v>0.84599999999999997</v>
      </c>
      <c r="G60" s="11">
        <v>0.84640000000000004</v>
      </c>
      <c r="H60" s="12">
        <v>0.72789999999999999</v>
      </c>
      <c r="I60" s="28" t="s">
        <v>9</v>
      </c>
      <c r="J60" s="19">
        <v>0.90629999999999999</v>
      </c>
      <c r="K60" s="12">
        <v>0.85399999999999998</v>
      </c>
    </row>
    <row r="61" spans="1:12" x14ac:dyDescent="0.25">
      <c r="A61" s="36" t="s">
        <v>2</v>
      </c>
      <c r="B61" s="6">
        <v>35.252000000000002</v>
      </c>
      <c r="C61" s="13">
        <v>0.5</v>
      </c>
      <c r="D61" s="14">
        <v>0.33329999999999999</v>
      </c>
      <c r="E61" s="13">
        <v>0.72609999999999997</v>
      </c>
      <c r="F61" s="14">
        <v>0.50060000000000004</v>
      </c>
      <c r="G61" s="13">
        <v>0.68510000000000004</v>
      </c>
      <c r="H61" s="14">
        <v>0.4753</v>
      </c>
      <c r="I61" s="29" t="s">
        <v>9</v>
      </c>
      <c r="J61" s="13">
        <v>0.72389999999999999</v>
      </c>
      <c r="K61" s="14">
        <v>0.49469999999999997</v>
      </c>
    </row>
    <row r="63" spans="1:12" x14ac:dyDescent="0.25">
      <c r="A63" s="32" t="s">
        <v>15</v>
      </c>
    </row>
    <row r="64" spans="1:12" x14ac:dyDescent="0.25">
      <c r="A64" s="37"/>
      <c r="B64" s="40" t="s">
        <v>23</v>
      </c>
      <c r="C64" s="40" t="s">
        <v>24</v>
      </c>
      <c r="D64" s="41" t="s">
        <v>18</v>
      </c>
    </row>
    <row r="65" spans="1:12" x14ac:dyDescent="0.25">
      <c r="A65" s="37"/>
      <c r="B65" s="39">
        <v>20969</v>
      </c>
      <c r="C65" s="39">
        <v>808988</v>
      </c>
      <c r="D65" s="39">
        <f>B65+ROUND(0.8*C65, 0)</f>
        <v>668159</v>
      </c>
      <c r="E65" s="2"/>
      <c r="G65" s="2"/>
    </row>
    <row r="66" spans="1:12" x14ac:dyDescent="0.25">
      <c r="B66" s="1"/>
      <c r="C66" s="15" t="s">
        <v>6</v>
      </c>
      <c r="D66" s="15"/>
      <c r="E66" s="15" t="s">
        <v>9</v>
      </c>
      <c r="F66" s="15"/>
      <c r="G66" s="15" t="s">
        <v>19</v>
      </c>
      <c r="H66" s="15"/>
      <c r="I66" s="3"/>
      <c r="J66" s="20"/>
      <c r="K66" s="20"/>
      <c r="L66" s="3"/>
    </row>
    <row r="67" spans="1:12" x14ac:dyDescent="0.25">
      <c r="B67" s="30" t="s">
        <v>20</v>
      </c>
      <c r="C67" s="22" t="s">
        <v>7</v>
      </c>
      <c r="D67" s="31" t="s">
        <v>8</v>
      </c>
      <c r="E67" s="22" t="s">
        <v>7</v>
      </c>
      <c r="F67" s="31" t="s">
        <v>8</v>
      </c>
      <c r="G67" s="22" t="s">
        <v>7</v>
      </c>
      <c r="H67" s="31" t="s">
        <v>8</v>
      </c>
      <c r="I67" s="26" t="s">
        <v>21</v>
      </c>
      <c r="J67" s="22" t="s">
        <v>7</v>
      </c>
      <c r="K67" s="31" t="s">
        <v>8</v>
      </c>
      <c r="L67" s="1"/>
    </row>
    <row r="68" spans="1:12" x14ac:dyDescent="0.25">
      <c r="A68" s="34" t="s">
        <v>3</v>
      </c>
      <c r="B68" s="4">
        <v>147.49199999999999</v>
      </c>
      <c r="C68" s="9">
        <v>0.5</v>
      </c>
      <c r="D68" s="10">
        <v>0.33329999999999999</v>
      </c>
      <c r="E68" s="9">
        <v>0.5</v>
      </c>
      <c r="F68" s="10">
        <v>0.33329999999999999</v>
      </c>
      <c r="G68" s="9">
        <v>0.82099999999999995</v>
      </c>
      <c r="H68" s="10">
        <v>0.6865</v>
      </c>
      <c r="I68" s="27" t="s">
        <v>19</v>
      </c>
      <c r="J68" s="9">
        <v>0.82130000000000003</v>
      </c>
      <c r="K68" s="10">
        <v>0.68769999999999998</v>
      </c>
    </row>
    <row r="69" spans="1:12" x14ac:dyDescent="0.25">
      <c r="A69" s="35" t="s">
        <v>4</v>
      </c>
      <c r="B69" s="5">
        <v>152.923</v>
      </c>
      <c r="C69" s="11">
        <v>0.5</v>
      </c>
      <c r="D69" s="12">
        <v>0.33329999999999999</v>
      </c>
      <c r="E69" s="11">
        <v>0.5</v>
      </c>
      <c r="F69" s="12">
        <v>0.33329999999999999</v>
      </c>
      <c r="G69" s="11">
        <v>0.74709999999999999</v>
      </c>
      <c r="H69" s="12">
        <v>0.60740000000000005</v>
      </c>
      <c r="I69" s="28" t="s">
        <v>19</v>
      </c>
      <c r="J69" s="19">
        <v>0.75</v>
      </c>
      <c r="K69" s="12">
        <v>0.61209999999999998</v>
      </c>
    </row>
    <row r="70" spans="1:12" x14ac:dyDescent="0.25">
      <c r="A70" s="35" t="s">
        <v>5</v>
      </c>
      <c r="B70" s="5">
        <v>0.33500000000000002</v>
      </c>
      <c r="C70" s="11">
        <v>0.5</v>
      </c>
      <c r="D70" s="12">
        <v>0.33329999999999999</v>
      </c>
      <c r="E70" s="11">
        <v>0.5</v>
      </c>
      <c r="F70" s="12">
        <v>0.33329999999999999</v>
      </c>
      <c r="G70" s="11">
        <v>0.8095</v>
      </c>
      <c r="H70" s="12">
        <v>0.6643</v>
      </c>
      <c r="I70" s="28" t="s">
        <v>19</v>
      </c>
      <c r="J70" s="19">
        <v>0.80910000000000004</v>
      </c>
      <c r="K70" s="12">
        <v>0.66490000000000005</v>
      </c>
    </row>
    <row r="71" spans="1:12" x14ac:dyDescent="0.25">
      <c r="A71" s="36" t="s">
        <v>2</v>
      </c>
      <c r="B71" s="6">
        <v>82.608999999999995</v>
      </c>
      <c r="C71" s="13">
        <v>0.5</v>
      </c>
      <c r="D71" s="14">
        <v>0.33329999999999999</v>
      </c>
      <c r="E71" s="13">
        <v>0.5</v>
      </c>
      <c r="F71" s="14">
        <v>0.33329999999999999</v>
      </c>
      <c r="G71" s="13">
        <v>0.75019999999999998</v>
      </c>
      <c r="H71" s="14">
        <v>0.5756</v>
      </c>
      <c r="I71" s="29" t="s">
        <v>19</v>
      </c>
      <c r="J71" s="13">
        <v>0.75170000000000003</v>
      </c>
      <c r="K71" s="14">
        <v>0.57620000000000005</v>
      </c>
    </row>
    <row r="73" spans="1:12" x14ac:dyDescent="0.25">
      <c r="A73" s="32" t="s">
        <v>16</v>
      </c>
    </row>
    <row r="74" spans="1:12" x14ac:dyDescent="0.25">
      <c r="A74" s="37"/>
      <c r="B74" s="40" t="s">
        <v>23</v>
      </c>
      <c r="C74" s="40" t="s">
        <v>24</v>
      </c>
      <c r="D74" s="41" t="s">
        <v>18</v>
      </c>
    </row>
    <row r="75" spans="1:12" x14ac:dyDescent="0.25">
      <c r="A75" s="37"/>
      <c r="B75" s="39">
        <v>5786</v>
      </c>
      <c r="C75" s="39">
        <v>103831</v>
      </c>
      <c r="D75" s="39">
        <f>B75+ROUND(0.8*C75, 0)</f>
        <v>88851</v>
      </c>
      <c r="E75" s="2"/>
      <c r="G75" s="2"/>
    </row>
    <row r="76" spans="1:12" x14ac:dyDescent="0.25">
      <c r="B76" s="1"/>
      <c r="C76" s="15" t="s">
        <v>6</v>
      </c>
      <c r="D76" s="15"/>
      <c r="E76" s="15" t="s">
        <v>9</v>
      </c>
      <c r="F76" s="15"/>
      <c r="G76" s="15" t="s">
        <v>19</v>
      </c>
      <c r="H76" s="15"/>
      <c r="I76" s="3"/>
      <c r="J76" s="20"/>
      <c r="K76" s="20"/>
      <c r="L76" s="3"/>
    </row>
    <row r="77" spans="1:12" x14ac:dyDescent="0.25">
      <c r="B77" s="30" t="s">
        <v>20</v>
      </c>
      <c r="C77" s="22" t="s">
        <v>7</v>
      </c>
      <c r="D77" s="31" t="s">
        <v>8</v>
      </c>
      <c r="E77" s="22" t="s">
        <v>7</v>
      </c>
      <c r="F77" s="31" t="s">
        <v>8</v>
      </c>
      <c r="G77" s="22" t="s">
        <v>7</v>
      </c>
      <c r="H77" s="31" t="s">
        <v>8</v>
      </c>
      <c r="I77" s="26" t="s">
        <v>21</v>
      </c>
      <c r="J77" s="22" t="s">
        <v>7</v>
      </c>
      <c r="K77" s="31" t="s">
        <v>8</v>
      </c>
      <c r="L77" s="1"/>
    </row>
    <row r="78" spans="1:12" x14ac:dyDescent="0.25">
      <c r="A78" s="34" t="s">
        <v>3</v>
      </c>
      <c r="B78" s="4">
        <v>85.32</v>
      </c>
      <c r="C78" s="9">
        <v>0.5</v>
      </c>
      <c r="D78" s="10">
        <v>0.33329999999999999</v>
      </c>
      <c r="E78" s="9">
        <v>0.5</v>
      </c>
      <c r="F78" s="10">
        <v>0.33329999999999999</v>
      </c>
      <c r="G78" s="9">
        <v>0.87619999999999998</v>
      </c>
      <c r="H78" s="10">
        <v>0.80689999999999995</v>
      </c>
      <c r="I78" s="27" t="s">
        <v>19</v>
      </c>
      <c r="J78" s="9">
        <v>0.88049999999999995</v>
      </c>
      <c r="K78" s="10">
        <v>0.81299999999999994</v>
      </c>
    </row>
    <row r="79" spans="1:12" x14ac:dyDescent="0.25">
      <c r="A79" s="35" t="s">
        <v>4</v>
      </c>
      <c r="B79" s="5">
        <v>19.713000000000001</v>
      </c>
      <c r="C79" s="11">
        <v>0.5</v>
      </c>
      <c r="D79" s="12">
        <v>0.33329999999999999</v>
      </c>
      <c r="E79" s="11">
        <v>0.5</v>
      </c>
      <c r="F79" s="12">
        <v>0.33329999999999999</v>
      </c>
      <c r="G79" s="11">
        <v>0.79669999999999996</v>
      </c>
      <c r="H79" s="12">
        <v>0.71040000000000003</v>
      </c>
      <c r="I79" s="28" t="s">
        <v>19</v>
      </c>
      <c r="J79" s="19">
        <v>0.80049999999999999</v>
      </c>
      <c r="K79" s="12">
        <v>0.71530000000000005</v>
      </c>
    </row>
    <row r="80" spans="1:12" x14ac:dyDescent="0.25">
      <c r="A80" s="35" t="s">
        <v>5</v>
      </c>
      <c r="B80" s="5">
        <v>0.308</v>
      </c>
      <c r="C80" s="11">
        <v>0.5</v>
      </c>
      <c r="D80" s="12">
        <v>0.33329999999999999</v>
      </c>
      <c r="E80" s="11">
        <v>0.5</v>
      </c>
      <c r="F80" s="12">
        <v>0.33329999999999999</v>
      </c>
      <c r="G80" s="11">
        <v>0.85150000000000003</v>
      </c>
      <c r="H80" s="12">
        <v>0.73760000000000003</v>
      </c>
      <c r="I80" s="28" t="s">
        <v>19</v>
      </c>
      <c r="J80" s="19">
        <v>0.86009999999999998</v>
      </c>
      <c r="K80" s="12">
        <v>0.74909999999999999</v>
      </c>
    </row>
    <row r="81" spans="1:12" x14ac:dyDescent="0.25">
      <c r="A81" s="36" t="s">
        <v>2</v>
      </c>
      <c r="B81" s="6">
        <v>26.449000000000002</v>
      </c>
      <c r="C81" s="13">
        <v>0.5</v>
      </c>
      <c r="D81" s="14">
        <v>0.33329999999999999</v>
      </c>
      <c r="E81" s="13">
        <v>0.5</v>
      </c>
      <c r="F81" s="14">
        <v>0.33329999999999999</v>
      </c>
      <c r="G81" s="13">
        <v>0.83079999999999998</v>
      </c>
      <c r="H81" s="14">
        <v>0.70920000000000005</v>
      </c>
      <c r="I81" s="29" t="s">
        <v>19</v>
      </c>
      <c r="J81" s="13">
        <v>0.84109999999999996</v>
      </c>
      <c r="K81" s="14">
        <v>0.7177</v>
      </c>
    </row>
    <row r="83" spans="1:12" x14ac:dyDescent="0.25">
      <c r="A83" s="32" t="s">
        <v>17</v>
      </c>
    </row>
    <row r="84" spans="1:12" x14ac:dyDescent="0.25">
      <c r="A84" s="32"/>
      <c r="B84" s="40" t="s">
        <v>23</v>
      </c>
      <c r="C84" s="40" t="s">
        <v>24</v>
      </c>
      <c r="D84" s="41" t="s">
        <v>18</v>
      </c>
    </row>
    <row r="85" spans="1:12" x14ac:dyDescent="0.25">
      <c r="A85" s="32"/>
      <c r="B85" s="39">
        <v>2026</v>
      </c>
      <c r="C85" s="39">
        <v>12637</v>
      </c>
      <c r="D85" s="39">
        <f>B85+ROUND(0.8*C85, 0)</f>
        <v>12136</v>
      </c>
      <c r="E85" s="2"/>
      <c r="G85" s="2"/>
    </row>
    <row r="86" spans="1:12" x14ac:dyDescent="0.25">
      <c r="B86" s="1"/>
      <c r="C86" s="15" t="s">
        <v>6</v>
      </c>
      <c r="D86" s="15"/>
      <c r="E86" s="15" t="s">
        <v>9</v>
      </c>
      <c r="F86" s="15"/>
      <c r="G86" s="15" t="s">
        <v>19</v>
      </c>
      <c r="H86" s="15"/>
      <c r="I86" s="3"/>
      <c r="J86" s="20"/>
      <c r="K86" s="20"/>
      <c r="L86" s="3"/>
    </row>
    <row r="87" spans="1:12" x14ac:dyDescent="0.25">
      <c r="B87" s="30" t="s">
        <v>1</v>
      </c>
      <c r="C87" s="22" t="s">
        <v>7</v>
      </c>
      <c r="D87" s="31" t="s">
        <v>8</v>
      </c>
      <c r="E87" s="22" t="s">
        <v>7</v>
      </c>
      <c r="F87" s="31" t="s">
        <v>8</v>
      </c>
      <c r="G87" s="22" t="s">
        <v>7</v>
      </c>
      <c r="H87" s="31" t="s">
        <v>8</v>
      </c>
      <c r="I87" s="26" t="s">
        <v>21</v>
      </c>
      <c r="J87" s="22" t="s">
        <v>7</v>
      </c>
      <c r="K87" s="31" t="s">
        <v>8</v>
      </c>
      <c r="L87" s="1"/>
    </row>
    <row r="88" spans="1:12" x14ac:dyDescent="0.25">
      <c r="A88" s="34" t="s">
        <v>3</v>
      </c>
      <c r="B88" s="4">
        <v>58.793999999999997</v>
      </c>
      <c r="C88" s="9">
        <v>0.50219999999999998</v>
      </c>
      <c r="D88" s="10">
        <v>0.33429999999999999</v>
      </c>
      <c r="E88" s="9">
        <v>0.8911</v>
      </c>
      <c r="F88" s="10">
        <v>0.82040000000000002</v>
      </c>
      <c r="G88" s="9">
        <v>0.8488</v>
      </c>
      <c r="H88" s="10">
        <v>0.73740000000000006</v>
      </c>
      <c r="I88" s="27" t="s">
        <v>9</v>
      </c>
      <c r="J88" s="9">
        <v>0.87539999999999996</v>
      </c>
      <c r="K88" s="10">
        <v>0.79620000000000002</v>
      </c>
    </row>
    <row r="89" spans="1:12" x14ac:dyDescent="0.25">
      <c r="A89" s="35" t="s">
        <v>4</v>
      </c>
      <c r="B89" s="5">
        <v>0.86199999999999999</v>
      </c>
      <c r="C89" s="11">
        <v>0.5</v>
      </c>
      <c r="D89" s="12">
        <v>0.33329999999999999</v>
      </c>
      <c r="E89" s="11">
        <v>0.79669999999999996</v>
      </c>
      <c r="F89" s="12">
        <v>0.71989999999999998</v>
      </c>
      <c r="G89" s="11">
        <v>0.78220000000000001</v>
      </c>
      <c r="H89" s="12">
        <v>0.66149999999999998</v>
      </c>
      <c r="I89" s="28" t="s">
        <v>9</v>
      </c>
      <c r="J89" s="19">
        <v>0.77729999999999999</v>
      </c>
      <c r="K89" s="12">
        <v>0.68289999999999995</v>
      </c>
    </row>
    <row r="90" spans="1:12" x14ac:dyDescent="0.25">
      <c r="A90" s="35" t="s">
        <v>5</v>
      </c>
      <c r="B90" s="5">
        <v>0.29599999999999999</v>
      </c>
      <c r="C90" s="11">
        <v>0.51060000000000005</v>
      </c>
      <c r="D90" s="12">
        <v>0.33810000000000001</v>
      </c>
      <c r="E90" s="11">
        <v>0.85509999999999997</v>
      </c>
      <c r="F90" s="12">
        <v>0.82410000000000005</v>
      </c>
      <c r="G90" s="11">
        <v>0.86360000000000003</v>
      </c>
      <c r="H90" s="12">
        <v>0.74909999999999999</v>
      </c>
      <c r="I90" s="28" t="s">
        <v>19</v>
      </c>
      <c r="J90" s="19">
        <v>0.86360000000000003</v>
      </c>
      <c r="K90" s="12">
        <v>0.75409999999999999</v>
      </c>
    </row>
    <row r="91" spans="1:12" x14ac:dyDescent="0.25">
      <c r="A91" s="36" t="s">
        <v>2</v>
      </c>
      <c r="B91" s="6">
        <v>6.048</v>
      </c>
      <c r="C91" s="13">
        <v>0.5</v>
      </c>
      <c r="D91" s="14">
        <v>0.33329999999999999</v>
      </c>
      <c r="E91" s="13">
        <v>0.86639999999999995</v>
      </c>
      <c r="F91" s="14">
        <v>0.76170000000000004</v>
      </c>
      <c r="G91" s="13">
        <v>0.8458</v>
      </c>
      <c r="H91" s="14">
        <v>0.71179999999999999</v>
      </c>
      <c r="I91" s="29" t="s">
        <v>9</v>
      </c>
      <c r="J91" s="13">
        <v>0.86219999999999997</v>
      </c>
      <c r="K91" s="14">
        <v>0.77639999999999998</v>
      </c>
    </row>
  </sheetData>
  <mergeCells count="27">
    <mergeCell ref="C6:D6"/>
    <mergeCell ref="E6:F6"/>
    <mergeCell ref="G6:H6"/>
    <mergeCell ref="C16:D16"/>
    <mergeCell ref="E16:F16"/>
    <mergeCell ref="G16:H16"/>
    <mergeCell ref="C26:D26"/>
    <mergeCell ref="E26:F26"/>
    <mergeCell ref="G26:H26"/>
    <mergeCell ref="C36:D36"/>
    <mergeCell ref="E36:F36"/>
    <mergeCell ref="G36:H36"/>
    <mergeCell ref="C46:D46"/>
    <mergeCell ref="E46:F46"/>
    <mergeCell ref="G46:H46"/>
    <mergeCell ref="C56:D56"/>
    <mergeCell ref="E56:F56"/>
    <mergeCell ref="G56:H56"/>
    <mergeCell ref="C66:D66"/>
    <mergeCell ref="E66:F66"/>
    <mergeCell ref="G66:H66"/>
    <mergeCell ref="C86:D86"/>
    <mergeCell ref="E86:F86"/>
    <mergeCell ref="G86:H86"/>
    <mergeCell ref="C76:D76"/>
    <mergeCell ref="E76:F76"/>
    <mergeCell ref="G76:H7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Mondin</dc:creator>
  <cp:lastModifiedBy>Silvia Mondin</cp:lastModifiedBy>
  <dcterms:created xsi:type="dcterms:W3CDTF">2026-01-15T10:16:23Z</dcterms:created>
  <dcterms:modified xsi:type="dcterms:W3CDTF">2026-01-16T15:44:19Z</dcterms:modified>
</cp:coreProperties>
</file>